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D5186A7-9438-4210-8F33-38D0A91F73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" sheetId="4" r:id="rId1"/>
    <sheet name="Login" sheetId="1" r:id="rId2"/>
    <sheet name="Cart" sheetId="2" r:id="rId3"/>
    <sheet name="Search_Brows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4" l="1"/>
  <c r="C9" i="4"/>
  <c r="C8" i="4"/>
  <c r="C11" i="4" l="1"/>
</calcChain>
</file>

<file path=xl/sharedStrings.xml><?xml version="1.0" encoding="utf-8"?>
<sst xmlns="http://schemas.openxmlformats.org/spreadsheetml/2006/main" count="594" uniqueCount="302">
  <si>
    <t>TC_ID</t>
  </si>
  <si>
    <t>Module</t>
  </si>
  <si>
    <t>Title</t>
  </si>
  <si>
    <t>Type</t>
  </si>
  <si>
    <t>Priority</t>
  </si>
  <si>
    <t>Preconditions</t>
  </si>
  <si>
    <t>Steps</t>
  </si>
  <si>
    <t>Test Data</t>
  </si>
  <si>
    <t>Expected Result</t>
  </si>
  <si>
    <t>Automation Candidate</t>
  </si>
  <si>
    <t>Notes</t>
  </si>
  <si>
    <t>LGN-001</t>
  </si>
  <si>
    <t>Login</t>
  </si>
  <si>
    <t>Open Login modal from navbar</t>
  </si>
  <si>
    <t>Functional</t>
  </si>
  <si>
    <t>High</t>
  </si>
  <si>
    <t>User is on Home page</t>
  </si>
  <si>
    <t>1) Click 'Log in' in navbar</t>
  </si>
  <si>
    <t>N/A</t>
  </si>
  <si>
    <t>Login modal opens with Username &amp; Password fields and Log in button</t>
  </si>
  <si>
    <t>Yes</t>
  </si>
  <si>
    <t>LGN-002</t>
  </si>
  <si>
    <t>Login with valid credentials</t>
  </si>
  <si>
    <t>User exists in system</t>
  </si>
  <si>
    <t>1) Open Login modal 2) Enter username 3) Enter password 4) Click 'Log in'</t>
  </si>
  <si>
    <t>Valid username/password</t>
  </si>
  <si>
    <t>User is logged in; navbar shows welcome text and Log out link appears</t>
  </si>
  <si>
    <t>Handle alert/dialog if shown</t>
  </si>
  <si>
    <t>LGN-003</t>
  </si>
  <si>
    <t>Login with invalid password</t>
  </si>
  <si>
    <t>Negative</t>
  </si>
  <si>
    <t>1) Open Login modal 2) Enter valid username 3) Enter wrong password 4) Click 'Log in'</t>
  </si>
  <si>
    <t>Valid username / wrong password</t>
  </si>
  <si>
    <t>Login fails; user remains logged out; error alert is shown</t>
  </si>
  <si>
    <t>Assert dialog text</t>
  </si>
  <si>
    <t>LGN-004</t>
  </si>
  <si>
    <t>Login with non-existent username</t>
  </si>
  <si>
    <t>1) Open Login modal 2) Enter unknown username 3) Enter any password 4) Click 'Log in'</t>
  </si>
  <si>
    <t>Unknown username / any password</t>
  </si>
  <si>
    <t>LGN-005</t>
  </si>
  <si>
    <t>Login with empty username</t>
  </si>
  <si>
    <t>1) Open Login modal 2) Leave username blank 3) Enter password 4) Click 'Log in'</t>
  </si>
  <si>
    <t>(blank) / any password</t>
  </si>
  <si>
    <t>Validation error or login failure alert shown; user remains logged out</t>
  </si>
  <si>
    <t>Behavior may be alert like 'Please fill out Username and Password'</t>
  </si>
  <si>
    <t>LGN-006</t>
  </si>
  <si>
    <t>Login with empty password</t>
  </si>
  <si>
    <t>1) Open Login modal 2) Enter username 3) Leave password blank 4) Click 'Log in'</t>
  </si>
  <si>
    <t>any username / (blank)</t>
  </si>
  <si>
    <t>Validation error or login failure alert; user remains logged out</t>
  </si>
  <si>
    <t>LGN-007</t>
  </si>
  <si>
    <t>Login with both fields empty</t>
  </si>
  <si>
    <t>1) Open Login modal 2) Click 'Log in' without entering values</t>
  </si>
  <si>
    <t>blank/blank</t>
  </si>
  <si>
    <t>Validation error alert; user remains logged out</t>
  </si>
  <si>
    <t>LGN-008</t>
  </si>
  <si>
    <t>Trim behavior for leading/trailing spaces in username</t>
  </si>
  <si>
    <t>Edge</t>
  </si>
  <si>
    <t>Medium</t>
  </si>
  <si>
    <t>1) Open Login modal 2) Enter username with spaces (e.g., ' user ') 3) Enter correct password 4) Click Log in</t>
  </si>
  <si>
    <t>' user ' / valid password</t>
  </si>
  <si>
    <t>Record actual system behavior</t>
  </si>
  <si>
    <t>LGN-009</t>
  </si>
  <si>
    <t>Password field masks input</t>
  </si>
  <si>
    <t>Low</t>
  </si>
  <si>
    <t>1) Open Login modal 2) Type in password field</t>
  </si>
  <si>
    <t>Any password</t>
  </si>
  <si>
    <t>Password characters are not visible (masked)</t>
  </si>
  <si>
    <t>No</t>
  </si>
  <si>
    <t>UI check</t>
  </si>
  <si>
    <t>LGN-010</t>
  </si>
  <si>
    <t>Press Enter submits login</t>
  </si>
  <si>
    <t>1) Open Login modal 2) Fill username/password 3) Press Enter</t>
  </si>
  <si>
    <t>Login submits and succeeds (or no submit; document actual)</t>
  </si>
  <si>
    <t>Depends on implementation</t>
  </si>
  <si>
    <t>LGN-011</t>
  </si>
  <si>
    <t>Close login modal via X</t>
  </si>
  <si>
    <t>1) Open Login modal 2) Click X</t>
  </si>
  <si>
    <t>Modal closes; no login attempt occurs</t>
  </si>
  <si>
    <t>LGN-012</t>
  </si>
  <si>
    <t>Close login modal via Close button</t>
  </si>
  <si>
    <t>1) Open Login modal 2) Click Close</t>
  </si>
  <si>
    <t>LGN-013</t>
  </si>
  <si>
    <t>1) Open modal 2) Type in fields 3) Close modal 4) Re-open modal</t>
  </si>
  <si>
    <t>Any text</t>
  </si>
  <si>
    <t>LGN-014</t>
  </si>
  <si>
    <t>Logout after successful login</t>
  </si>
  <si>
    <t>User is logged in</t>
  </si>
  <si>
    <t>1) Click 'Log out' in navbar</t>
  </si>
  <si>
    <t>User is logged out; 'Log in' shows again; welcome text disappears</t>
  </si>
  <si>
    <t>LGN-015</t>
  </si>
  <si>
    <t>User is logged out</t>
  </si>
  <si>
    <t>1) Click Cart</t>
  </si>
  <si>
    <t>Demoblaze usually allows viewing cart</t>
  </si>
  <si>
    <t>LGN-016</t>
  </si>
  <si>
    <t>Session persists after page refresh</t>
  </si>
  <si>
    <t>1) Refresh the page</t>
  </si>
  <si>
    <t>LGN-017</t>
  </si>
  <si>
    <t>Attempt login while already logged in</t>
  </si>
  <si>
    <t>1) Click 'Log in' if still visible / try to open login modal via URL/DOM</t>
  </si>
  <si>
    <t>Expected: login option hidden; user cannot log in again without logout</t>
  </si>
  <si>
    <t>LGN-018</t>
  </si>
  <si>
    <t>Special characters in username</t>
  </si>
  <si>
    <t>1) Open login modal 2) Enter username with special chars 3) Enter password 4) Submit</t>
  </si>
  <si>
    <t>user!@# / any</t>
  </si>
  <si>
    <t>Clear error message or failure; no crash</t>
  </si>
  <si>
    <t>Security sanity</t>
  </si>
  <si>
    <t>LGN-019</t>
  </si>
  <si>
    <t>Very long username/password</t>
  </si>
  <si>
    <t>1) Open login modal 2) Enter very long strings 3) Submit</t>
  </si>
  <si>
    <t>256+ chars</t>
  </si>
  <si>
    <t>App should not crash; should fail gracefully</t>
  </si>
  <si>
    <t>LGN-020</t>
  </si>
  <si>
    <t>SQL injection string in username/password</t>
  </si>
  <si>
    <t>1) Open login modal 2) Enter "' OR 1=1 --" in username/password 3) Submit</t>
  </si>
  <si>
    <t>' OR 1=1 --</t>
  </si>
  <si>
    <t>Should fail; no unexpected login; no error stack shown</t>
  </si>
  <si>
    <t>Security smoke test</t>
  </si>
  <si>
    <t>LGN-021</t>
  </si>
  <si>
    <t>XSS string in username field</t>
  </si>
  <si>
    <t>1) Open login modal 2) Enter "&lt;script&gt;alert(1)&lt;/script&gt;" 3) Submit</t>
  </si>
  <si>
    <t>&lt;script&gt;…&lt;/script&gt;</t>
  </si>
  <si>
    <t>Should fail; no script execution; input treated as text</t>
  </si>
  <si>
    <t>LGN-022</t>
  </si>
  <si>
    <t>Network interruption during login (offline)</t>
  </si>
  <si>
    <t>1) Open login modal 2) Simulate offline 3) Submit</t>
  </si>
  <si>
    <t>Valid creds</t>
  </si>
  <si>
    <t>Graceful error; no hang; user not logged in</t>
  </si>
  <si>
    <t>For robustness; can be mocked</t>
  </si>
  <si>
    <t>CRT-001</t>
  </si>
  <si>
    <t>Cart</t>
  </si>
  <si>
    <t>Open Cart page from navbar</t>
  </si>
  <si>
    <t>1) Click 'Cart' in navbar</t>
  </si>
  <si>
    <t>Cart page loads successfully</t>
  </si>
  <si>
    <t>CRT-002</t>
  </si>
  <si>
    <t>Add a product to cart from product detail page</t>
  </si>
  <si>
    <t>1) Click a product 2) Click 'Add to cart' 3) Accept alert 4) Go to Cart</t>
  </si>
  <si>
    <t>Any product</t>
  </si>
  <si>
    <t>Product appears in cart with correct title and price</t>
  </si>
  <si>
    <t>Handle dialog 'Product added'</t>
  </si>
  <si>
    <t>CRT-003</t>
  </si>
  <si>
    <t>Add multiple different products to cart</t>
  </si>
  <si>
    <t>1) Add product A 2) Return home 3) Add product B 4) Go to Cart</t>
  </si>
  <si>
    <t>Two different products</t>
  </si>
  <si>
    <t>Both products appear in cart; totals match sum</t>
  </si>
  <si>
    <t>CRT-004</t>
  </si>
  <si>
    <t>Add same product twice</t>
  </si>
  <si>
    <t>1) Add same product twice 2) Go to Cart</t>
  </si>
  <si>
    <t>Same product</t>
  </si>
  <si>
    <t>Demoblaze often creates duplicate rows</t>
  </si>
  <si>
    <t>CRT-005</t>
  </si>
  <si>
    <t>Cart persists after page refresh</t>
  </si>
  <si>
    <t>Cart has at least 1 item</t>
  </si>
  <si>
    <t>1) Refresh Cart page</t>
  </si>
  <si>
    <t>Items remain in cart after refresh</t>
  </si>
  <si>
    <t>CRT-006</t>
  </si>
  <si>
    <t>Delete item from cart</t>
  </si>
  <si>
    <t>1) Click 'Delete' on an item</t>
  </si>
  <si>
    <t>Item is removed from cart; totals update accordingly</t>
  </si>
  <si>
    <t>CRT-007</t>
  </si>
  <si>
    <t>Delete last item results in empty cart</t>
  </si>
  <si>
    <t>Cart has 1 item</t>
  </si>
  <si>
    <t>1) Click Delete on the only item</t>
  </si>
  <si>
    <t>Cart becomes empty; total is 0 or blank</t>
  </si>
  <si>
    <t>CRT-008</t>
  </si>
  <si>
    <t>Place Order modal opens</t>
  </si>
  <si>
    <t>1) Click 'Place Order'</t>
  </si>
  <si>
    <t>Order modal opens with customer and payment fields</t>
  </si>
  <si>
    <t>CRT-009</t>
  </si>
  <si>
    <t>Successful purchase with valid order details</t>
  </si>
  <si>
    <t>1) Click Place Order 2) Fill required fields 3) Click Purchase</t>
  </si>
  <si>
    <t>Valid order details</t>
  </si>
  <si>
    <t>Confirmation appears with order id/amount; cart is cleared after OK</t>
  </si>
  <si>
    <t>Validate confirmation text contains Amount</t>
  </si>
  <si>
    <t>CRT-010</t>
  </si>
  <si>
    <t>Purchase with missing Name</t>
  </si>
  <si>
    <t>1) Place Order 2) Leave Name blank 3) Click Purchase</t>
  </si>
  <si>
    <t>Name blank</t>
  </si>
  <si>
    <t>Purchase blocked; validation alert shown; no confirmation</t>
  </si>
  <si>
    <t>CRT-011</t>
  </si>
  <si>
    <t>Purchase with missing Card</t>
  </si>
  <si>
    <t>1) Place Order 2) Leave Card blank 3) Click Purchase</t>
  </si>
  <si>
    <t>Card blank</t>
  </si>
  <si>
    <t>CRT-012</t>
  </si>
  <si>
    <t>Close Place Order modal via Close button</t>
  </si>
  <si>
    <t>Cart has at least 1 item; modal open</t>
  </si>
  <si>
    <t>1) Click Close</t>
  </si>
  <si>
    <t>Modal closes; cart unchanged</t>
  </si>
  <si>
    <t>CRT-013</t>
  </si>
  <si>
    <t>Close Place Order modal via X</t>
  </si>
  <si>
    <t>1) Click X</t>
  </si>
  <si>
    <t>CRT-014</t>
  </si>
  <si>
    <t>Cancel order by closing modal after filling fields</t>
  </si>
  <si>
    <t>1) Fill fields 2) Close modal 3) Re-open modal</t>
  </si>
  <si>
    <t>Partial data</t>
  </si>
  <si>
    <t>CRT-015</t>
  </si>
  <si>
    <t>Cart total equals sum of item prices</t>
  </si>
  <si>
    <t>Cart has multiple items</t>
  </si>
  <si>
    <t>1) Observe line prices 2) Observe total</t>
  </si>
  <si>
    <t>Total displayed equals sum of item prices</t>
  </si>
  <si>
    <t>CRT-016</t>
  </si>
  <si>
    <t>Delete updates total correctly</t>
  </si>
  <si>
    <t>1) Note total 2) Delete one item 3) Re-check total</t>
  </si>
  <si>
    <t>New total equals previous total minus deleted item price</t>
  </si>
  <si>
    <t>CRT-017</t>
  </si>
  <si>
    <t>Place Order without items</t>
  </si>
  <si>
    <t>Cart is empty</t>
  </si>
  <si>
    <t>CRT-018</t>
  </si>
  <si>
    <t>Cart item details (title/price) match product page</t>
  </si>
  <si>
    <t>Cart has item added from product page</t>
  </si>
  <si>
    <t>1) Compare cart title/price with product detail</t>
  </si>
  <si>
    <t>Cart shows correct product title and price</t>
  </si>
  <si>
    <t>CRT-019</t>
  </si>
  <si>
    <t>User has items in cart; user logged in</t>
  </si>
  <si>
    <t>1) Logout 2) Open cart</t>
  </si>
  <si>
    <t>CRT-020</t>
  </si>
  <si>
    <t>Large number of items in cart (stress sanity)</t>
  </si>
  <si>
    <t>1) Add many items (e.g., 10+) 2) Open cart</t>
  </si>
  <si>
    <t>10+ items</t>
  </si>
  <si>
    <t>Cart renders without layout break; operations still work</t>
  </si>
  <si>
    <t>CRT-021</t>
  </si>
  <si>
    <t>Purchase confirmation contains correct amount</t>
  </si>
  <si>
    <t>Cart has items</t>
  </si>
  <si>
    <t>1) Place order and purchase 2) Read confirmation</t>
  </si>
  <si>
    <t>Confirmation amount matches cart total</t>
  </si>
  <si>
    <t>CRT-022</t>
  </si>
  <si>
    <t>After purchase, cart is cleared</t>
  </si>
  <si>
    <t>Purchase completed</t>
  </si>
  <si>
    <t>1) Click OK on confirmation 2) Go to Cart</t>
  </si>
  <si>
    <t>Cart is empty after successful purchase</t>
  </si>
  <si>
    <t>CRT-023</t>
  </si>
  <si>
    <t>Purchase modal rejects non-numeric card input (if validated)</t>
  </si>
  <si>
    <t>Cart has items; modal open</t>
  </si>
  <si>
    <t>1) Enter letters in Card 2) Click Purchase</t>
  </si>
  <si>
    <t>Card='abcd'</t>
  </si>
  <si>
    <t>CRT-024</t>
  </si>
  <si>
    <t>Purchase with special chars in Name/Country/City</t>
  </si>
  <si>
    <t>1) Enter unicode/special chars 2) Purchase</t>
  </si>
  <si>
    <t>Name='José 🚀'</t>
  </si>
  <si>
    <t>App handles gracefully; confirmation shown or validation message</t>
  </si>
  <si>
    <t>SRCH-001</t>
  </si>
  <si>
    <t>Search/Browse</t>
  </si>
  <si>
    <t>Filter products by category: Phones</t>
  </si>
  <si>
    <t>1) Click 'Phones' category</t>
  </si>
  <si>
    <t>Only phone products are listed</t>
  </si>
  <si>
    <t>Demoblaze uses category list, not a text search</t>
  </si>
  <si>
    <t>SRCH-002</t>
  </si>
  <si>
    <t>Filter products by category: Laptops</t>
  </si>
  <si>
    <t>1) Click 'Laptops' category</t>
  </si>
  <si>
    <t>Only laptop products are listed</t>
  </si>
  <si>
    <t>SRCH-003</t>
  </si>
  <si>
    <t>Filter products by category: Monitors</t>
  </si>
  <si>
    <t>1) Click 'Monitors' category</t>
  </si>
  <si>
    <t>Only monitor products are listed</t>
  </si>
  <si>
    <t>SRCH-004</t>
  </si>
  <si>
    <t>Pagination Next shows different products</t>
  </si>
  <si>
    <t>1) Note first product title 2) Click Next 3) Compare list</t>
  </si>
  <si>
    <t>Product list changes when navigating pages</t>
  </si>
  <si>
    <t>SRCH-005</t>
  </si>
  <si>
    <t>Find product by name by paging through list</t>
  </si>
  <si>
    <t>1) Iterate pages using Next until product name appears 2) Open product</t>
  </si>
  <si>
    <t>Target product name</t>
  </si>
  <si>
    <t>Target product appears and can be opened</t>
  </si>
  <si>
    <t>#</t>
  </si>
  <si>
    <t>Access Cart requires login? (check authorization behavior)</t>
  </si>
  <si>
    <t>Expected: user remains logged in</t>
  </si>
  <si>
    <t>Expected: not allow to login, message: User does not exist</t>
  </si>
  <si>
    <t>Login modal clears fields after close/reopen? (check convinent thing)</t>
  </si>
  <si>
    <t>Expected: fields data kept and refilled when modal is showup again</t>
  </si>
  <si>
    <t>Expected: cart accessible with logout user</t>
  </si>
  <si>
    <t>Expected: two rows of the same product showed in the list</t>
  </si>
  <si>
    <t>Purchase blocked; validation alert shown; ask to refill before continue</t>
  </si>
  <si>
    <t>Failed</t>
  </si>
  <si>
    <t>Expected: fields data refilled as same as entered before</t>
  </si>
  <si>
    <t>Suggest validation</t>
  </si>
  <si>
    <t xml:space="preserve">1) Click Place Order </t>
  </si>
  <si>
    <t>Expected: button Place order disabled</t>
  </si>
  <si>
    <t>Expected: cart is cleared</t>
  </si>
  <si>
    <t>Expected: validation error, not allow enter letters in Credit Card field</t>
  </si>
  <si>
    <t>Cart should not remains accessible after logout (check authorization)</t>
  </si>
  <si>
    <t>Cart remains accessible after logout and login again</t>
  </si>
  <si>
    <t>1) Logout 2) Login again 3) Open Cart</t>
  </si>
  <si>
    <t>Cart shows 2 product A and B the same as before</t>
  </si>
  <si>
    <t>CRT-025</t>
  </si>
  <si>
    <t>Cart/Login</t>
  </si>
  <si>
    <t>Login/Cart</t>
  </si>
  <si>
    <t>Cart remains the same after logout and login again, even new product added with anonymous user</t>
  </si>
  <si>
    <t>CRT-026</t>
  </si>
  <si>
    <t>1) Logout 2) Add product B to cart 3) Login again 3) Open Cart</t>
  </si>
  <si>
    <t>Product A in Cart before logout</t>
  </si>
  <si>
    <t>Product A + Product B in Cart before logout</t>
  </si>
  <si>
    <t>Cart shows product A the same as before</t>
  </si>
  <si>
    <t>Cart/Purchase</t>
  </si>
  <si>
    <t>demoblaze does not have search textbox, so automation not really replicate this case in code</t>
  </si>
  <si>
    <t>URL</t>
  </si>
  <si>
    <t>pkduong</t>
  </si>
  <si>
    <t>password</t>
  </si>
  <si>
    <t>username</t>
  </si>
  <si>
    <t xml:space="preserve">https://www.demoblaze.com/ </t>
  </si>
  <si>
    <t>This file has collection of test case for Demo Blaze website</t>
  </si>
  <si>
    <t>Search_Browse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</si>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</sst>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5" fillId="0" borderId="0" xfId="1"/>
    <xf numFmtId="0" fontId="0" fillId="0" borderId="1" xfId="0" applyBorder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moblaz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1EF5-2426-4406-A78C-16C20518ACBC}">
  <dimension ref="A2:C11"/>
  <sheetViews>
    <sheetView tabSelected="1" workbookViewId="0">
      <selection activeCell="C20" sqref="C20"/>
    </sheetView>
  </sheetViews>
  <sheetFormatPr defaultRowHeight="14.4" x14ac:dyDescent="0.3"/>
  <cols>
    <col min="2" max="2" width="16.5546875" customWidth="1"/>
  </cols>
  <sheetData>
    <row r="2" spans="1:3" x14ac:dyDescent="0.3">
      <c r="A2" t="s">
        <v>294</v>
      </c>
      <c r="B2" s="5" t="s">
        <v>298</v>
      </c>
    </row>
    <row r="3" spans="1:3" x14ac:dyDescent="0.3">
      <c r="A3" t="s">
        <v>297</v>
      </c>
      <c r="B3" t="s">
        <v>295</v>
      </c>
    </row>
    <row r="4" spans="1:3" x14ac:dyDescent="0.3">
      <c r="A4" t="s">
        <v>296</v>
      </c>
      <c r="B4" t="s">
        <v>295</v>
      </c>
    </row>
    <row r="6" spans="1:3" x14ac:dyDescent="0.3">
      <c r="B6" t="s">
        <v>299</v>
      </c>
    </row>
    <row r="8" spans="1:3" x14ac:dyDescent="0.3">
      <c r="B8" s="6" t="s">
        <v>12</v>
      </c>
      <c r="C8" s="6">
        <f>COUNTIF(Login!A:A,"*LGN*")</f>
        <v>22</v>
      </c>
    </row>
    <row r="9" spans="1:3" x14ac:dyDescent="0.3">
      <c r="B9" s="6" t="s">
        <v>130</v>
      </c>
      <c r="C9" s="6">
        <f>COUNTIF(Cart!A:A,"*CRT*")</f>
        <v>26</v>
      </c>
    </row>
    <row r="10" spans="1:3" x14ac:dyDescent="0.3">
      <c r="B10" s="6" t="s">
        <v>300</v>
      </c>
      <c r="C10" s="6">
        <f>COUNTIF(Search_Browse!A:A,"SRCH*")</f>
        <v>5</v>
      </c>
    </row>
    <row r="11" spans="1:3" x14ac:dyDescent="0.3">
      <c r="B11" s="7" t="s">
        <v>301</v>
      </c>
      <c r="C11" s="7">
        <f>SUM(C8:C10)</f>
        <v>53</v>
      </c>
    </row>
  </sheetData>
  <hyperlinks>
    <hyperlink ref="B2" r:id="rId1" xr:uid="{04C3CB70-3184-4132-BA30-1AC230111E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zoomScale="85" zoomScaleNormal="85" workbookViewId="0">
      <pane ySplit="1" topLeftCell="A2" activePane="bottomLeft" state="frozen"/>
      <selection pane="bottomLeft" activeCell="A2" sqref="A2:A14"/>
    </sheetView>
  </sheetViews>
  <sheetFormatPr defaultRowHeight="14.4" x14ac:dyDescent="0.3"/>
  <cols>
    <col min="1" max="1" width="10" customWidth="1"/>
    <col min="2" max="2" width="10.21875" customWidth="1"/>
    <col min="3" max="3" width="40" customWidth="1"/>
    <col min="4" max="4" width="14" customWidth="1"/>
    <col min="5" max="5" width="10" customWidth="1"/>
    <col min="6" max="6" width="28" customWidth="1"/>
    <col min="7" max="7" width="55" customWidth="1"/>
    <col min="8" max="8" width="25" customWidth="1"/>
    <col min="9" max="9" width="30" customWidth="1"/>
    <col min="10" max="10" width="20" customWidth="1"/>
    <col min="11" max="11" width="22" customWidth="1"/>
  </cols>
  <sheetData>
    <row r="1" spans="1:11" s="3" customFormat="1" ht="28.8" x14ac:dyDescent="0.3">
      <c r="A1" s="2" t="s">
        <v>263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3.2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/>
    </row>
    <row r="3" spans="1:11" ht="43.2" x14ac:dyDescent="0.3">
      <c r="A3" s="1" t="s">
        <v>21</v>
      </c>
      <c r="B3" s="1" t="s">
        <v>12</v>
      </c>
      <c r="C3" s="1" t="s">
        <v>22</v>
      </c>
      <c r="D3" s="1" t="s">
        <v>14</v>
      </c>
      <c r="E3" s="1" t="s">
        <v>15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20</v>
      </c>
      <c r="K3" s="1" t="s">
        <v>27</v>
      </c>
    </row>
    <row r="4" spans="1:11" ht="28.8" x14ac:dyDescent="0.3">
      <c r="A4" s="1" t="s">
        <v>28</v>
      </c>
      <c r="B4" s="1" t="s">
        <v>12</v>
      </c>
      <c r="C4" s="1" t="s">
        <v>29</v>
      </c>
      <c r="D4" s="1" t="s">
        <v>30</v>
      </c>
      <c r="E4" s="1" t="s">
        <v>15</v>
      </c>
      <c r="F4" s="1" t="s">
        <v>23</v>
      </c>
      <c r="G4" s="1" t="s">
        <v>31</v>
      </c>
      <c r="H4" s="1" t="s">
        <v>32</v>
      </c>
      <c r="I4" s="1" t="s">
        <v>33</v>
      </c>
      <c r="J4" s="1" t="s">
        <v>20</v>
      </c>
      <c r="K4" s="1" t="s">
        <v>34</v>
      </c>
    </row>
    <row r="5" spans="1:11" ht="28.8" x14ac:dyDescent="0.3">
      <c r="A5" s="1" t="s">
        <v>35</v>
      </c>
      <c r="B5" s="1" t="s">
        <v>12</v>
      </c>
      <c r="C5" s="1" t="s">
        <v>36</v>
      </c>
      <c r="D5" s="1" t="s">
        <v>30</v>
      </c>
      <c r="E5" s="1" t="s">
        <v>15</v>
      </c>
      <c r="F5" s="1" t="s">
        <v>18</v>
      </c>
      <c r="G5" s="1" t="s">
        <v>37</v>
      </c>
      <c r="H5" s="1" t="s">
        <v>38</v>
      </c>
      <c r="I5" s="1" t="s">
        <v>33</v>
      </c>
      <c r="J5" s="1" t="s">
        <v>20</v>
      </c>
      <c r="K5" s="1"/>
    </row>
    <row r="6" spans="1:11" ht="43.2" x14ac:dyDescent="0.3">
      <c r="A6" s="1" t="s">
        <v>39</v>
      </c>
      <c r="B6" s="1" t="s">
        <v>12</v>
      </c>
      <c r="C6" s="1" t="s">
        <v>40</v>
      </c>
      <c r="D6" s="1" t="s">
        <v>30</v>
      </c>
      <c r="E6" s="1" t="s">
        <v>15</v>
      </c>
      <c r="F6" s="1" t="s">
        <v>18</v>
      </c>
      <c r="G6" s="1" t="s">
        <v>41</v>
      </c>
      <c r="H6" s="1" t="s">
        <v>42</v>
      </c>
      <c r="I6" s="1" t="s">
        <v>43</v>
      </c>
      <c r="J6" s="1" t="s">
        <v>20</v>
      </c>
      <c r="K6" s="1" t="s">
        <v>44</v>
      </c>
    </row>
    <row r="7" spans="1:11" ht="28.8" x14ac:dyDescent="0.3">
      <c r="A7" s="1" t="s">
        <v>45</v>
      </c>
      <c r="B7" s="1" t="s">
        <v>12</v>
      </c>
      <c r="C7" s="1" t="s">
        <v>46</v>
      </c>
      <c r="D7" s="1" t="s">
        <v>30</v>
      </c>
      <c r="E7" s="1" t="s">
        <v>15</v>
      </c>
      <c r="F7" s="1" t="s">
        <v>18</v>
      </c>
      <c r="G7" s="1" t="s">
        <v>47</v>
      </c>
      <c r="H7" s="1" t="s">
        <v>48</v>
      </c>
      <c r="I7" s="1" t="s">
        <v>49</v>
      </c>
      <c r="J7" s="1" t="s">
        <v>20</v>
      </c>
      <c r="K7" s="1"/>
    </row>
    <row r="8" spans="1:11" ht="28.8" x14ac:dyDescent="0.3">
      <c r="A8" s="1" t="s">
        <v>50</v>
      </c>
      <c r="B8" s="1" t="s">
        <v>12</v>
      </c>
      <c r="C8" s="1" t="s">
        <v>51</v>
      </c>
      <c r="D8" s="1" t="s">
        <v>30</v>
      </c>
      <c r="E8" s="1" t="s">
        <v>15</v>
      </c>
      <c r="F8" s="1" t="s">
        <v>18</v>
      </c>
      <c r="G8" s="1" t="s">
        <v>52</v>
      </c>
      <c r="H8" s="1" t="s">
        <v>53</v>
      </c>
      <c r="I8" s="1" t="s">
        <v>54</v>
      </c>
      <c r="J8" s="1" t="s">
        <v>20</v>
      </c>
      <c r="K8" s="1"/>
    </row>
    <row r="9" spans="1:11" ht="28.8" x14ac:dyDescent="0.3">
      <c r="A9" s="1" t="s">
        <v>55</v>
      </c>
      <c r="B9" s="1" t="s">
        <v>12</v>
      </c>
      <c r="C9" s="1" t="s">
        <v>56</v>
      </c>
      <c r="D9" s="1" t="s">
        <v>57</v>
      </c>
      <c r="E9" s="1" t="s">
        <v>58</v>
      </c>
      <c r="F9" s="1" t="s">
        <v>23</v>
      </c>
      <c r="G9" s="1" t="s">
        <v>59</v>
      </c>
      <c r="H9" s="1" t="s">
        <v>60</v>
      </c>
      <c r="I9" s="1" t="s">
        <v>266</v>
      </c>
      <c r="J9" s="1" t="s">
        <v>20</v>
      </c>
      <c r="K9" s="1" t="s">
        <v>61</v>
      </c>
    </row>
    <row r="10" spans="1:11" ht="28.8" x14ac:dyDescent="0.3">
      <c r="A10" s="1" t="s">
        <v>62</v>
      </c>
      <c r="B10" s="1" t="s">
        <v>12</v>
      </c>
      <c r="C10" s="1" t="s">
        <v>63</v>
      </c>
      <c r="D10" s="1" t="s">
        <v>14</v>
      </c>
      <c r="E10" s="1" t="s">
        <v>64</v>
      </c>
      <c r="F10" s="1" t="s">
        <v>18</v>
      </c>
      <c r="G10" s="1" t="s">
        <v>65</v>
      </c>
      <c r="H10" s="1" t="s">
        <v>66</v>
      </c>
      <c r="I10" s="1" t="s">
        <v>67</v>
      </c>
      <c r="J10" s="1" t="s">
        <v>68</v>
      </c>
      <c r="K10" s="1" t="s">
        <v>69</v>
      </c>
    </row>
    <row r="11" spans="1:11" ht="28.8" x14ac:dyDescent="0.3">
      <c r="A11" s="1" t="s">
        <v>70</v>
      </c>
      <c r="B11" s="1" t="s">
        <v>12</v>
      </c>
      <c r="C11" s="1" t="s">
        <v>71</v>
      </c>
      <c r="D11" s="1" t="s">
        <v>57</v>
      </c>
      <c r="E11" s="1" t="s">
        <v>58</v>
      </c>
      <c r="F11" s="1" t="s">
        <v>23</v>
      </c>
      <c r="G11" s="1" t="s">
        <v>72</v>
      </c>
      <c r="H11" s="1" t="s">
        <v>25</v>
      </c>
      <c r="I11" s="1" t="s">
        <v>73</v>
      </c>
      <c r="J11" s="1" t="s">
        <v>20</v>
      </c>
      <c r="K11" s="1" t="s">
        <v>74</v>
      </c>
    </row>
    <row r="12" spans="1:11" ht="28.8" x14ac:dyDescent="0.3">
      <c r="A12" s="1" t="s">
        <v>75</v>
      </c>
      <c r="B12" s="1" t="s">
        <v>12</v>
      </c>
      <c r="C12" s="1" t="s">
        <v>76</v>
      </c>
      <c r="D12" s="1" t="s">
        <v>14</v>
      </c>
      <c r="E12" s="1" t="s">
        <v>64</v>
      </c>
      <c r="F12" s="1" t="s">
        <v>18</v>
      </c>
      <c r="G12" s="1" t="s">
        <v>77</v>
      </c>
      <c r="H12" s="1" t="s">
        <v>18</v>
      </c>
      <c r="I12" s="1" t="s">
        <v>78</v>
      </c>
      <c r="J12" s="1" t="s">
        <v>20</v>
      </c>
      <c r="K12" s="1"/>
    </row>
    <row r="13" spans="1:11" ht="28.8" x14ac:dyDescent="0.3">
      <c r="A13" s="1" t="s">
        <v>79</v>
      </c>
      <c r="B13" s="1" t="s">
        <v>12</v>
      </c>
      <c r="C13" s="1" t="s">
        <v>80</v>
      </c>
      <c r="D13" s="1" t="s">
        <v>14</v>
      </c>
      <c r="E13" s="1" t="s">
        <v>64</v>
      </c>
      <c r="F13" s="1" t="s">
        <v>18</v>
      </c>
      <c r="G13" s="1" t="s">
        <v>81</v>
      </c>
      <c r="H13" s="1" t="s">
        <v>18</v>
      </c>
      <c r="I13" s="1" t="s">
        <v>78</v>
      </c>
      <c r="J13" s="1" t="s">
        <v>20</v>
      </c>
      <c r="K13" s="1"/>
    </row>
    <row r="14" spans="1:11" ht="43.2" x14ac:dyDescent="0.3">
      <c r="A14" s="1" t="s">
        <v>82</v>
      </c>
      <c r="B14" s="1" t="s">
        <v>12</v>
      </c>
      <c r="C14" s="1" t="s">
        <v>267</v>
      </c>
      <c r="D14" s="1" t="s">
        <v>57</v>
      </c>
      <c r="E14" s="1" t="s">
        <v>64</v>
      </c>
      <c r="F14" s="1" t="s">
        <v>18</v>
      </c>
      <c r="G14" s="1" t="s">
        <v>83</v>
      </c>
      <c r="H14" s="1" t="s">
        <v>84</v>
      </c>
      <c r="I14" s="1" t="s">
        <v>268</v>
      </c>
      <c r="J14" s="1" t="s">
        <v>68</v>
      </c>
      <c r="K14" s="1"/>
    </row>
    <row r="15" spans="1:11" ht="28.8" x14ac:dyDescent="0.3">
      <c r="A15" s="1" t="s">
        <v>85</v>
      </c>
      <c r="B15" s="1" t="s">
        <v>12</v>
      </c>
      <c r="C15" s="1" t="s">
        <v>86</v>
      </c>
      <c r="D15" s="1" t="s">
        <v>14</v>
      </c>
      <c r="E15" s="1" t="s">
        <v>15</v>
      </c>
      <c r="F15" s="1" t="s">
        <v>87</v>
      </c>
      <c r="G15" s="1" t="s">
        <v>88</v>
      </c>
      <c r="H15" s="1" t="s">
        <v>18</v>
      </c>
      <c r="I15" s="1" t="s">
        <v>89</v>
      </c>
      <c r="J15" s="1" t="s">
        <v>20</v>
      </c>
      <c r="K15" s="1"/>
    </row>
    <row r="16" spans="1:11" ht="28.8" x14ac:dyDescent="0.3">
      <c r="A16" s="1" t="s">
        <v>90</v>
      </c>
      <c r="B16" s="1" t="s">
        <v>285</v>
      </c>
      <c r="C16" s="1" t="s">
        <v>264</v>
      </c>
      <c r="D16" s="1" t="s">
        <v>57</v>
      </c>
      <c r="E16" s="1" t="s">
        <v>58</v>
      </c>
      <c r="F16" s="1" t="s">
        <v>91</v>
      </c>
      <c r="G16" s="1" t="s">
        <v>92</v>
      </c>
      <c r="H16" s="1" t="s">
        <v>18</v>
      </c>
      <c r="I16" s="1" t="s">
        <v>269</v>
      </c>
      <c r="J16" s="1" t="s">
        <v>68</v>
      </c>
      <c r="K16" s="1" t="s">
        <v>93</v>
      </c>
    </row>
    <row r="17" spans="1:11" x14ac:dyDescent="0.3">
      <c r="A17" s="1" t="s">
        <v>94</v>
      </c>
      <c r="B17" s="1" t="s">
        <v>12</v>
      </c>
      <c r="C17" s="1" t="s">
        <v>95</v>
      </c>
      <c r="D17" s="1" t="s">
        <v>57</v>
      </c>
      <c r="E17" s="1" t="s">
        <v>58</v>
      </c>
      <c r="F17" s="1" t="s">
        <v>87</v>
      </c>
      <c r="G17" s="1" t="s">
        <v>96</v>
      </c>
      <c r="H17" s="1" t="s">
        <v>18</v>
      </c>
      <c r="I17" s="1" t="s">
        <v>265</v>
      </c>
      <c r="J17" s="1" t="s">
        <v>20</v>
      </c>
      <c r="K17" s="1"/>
    </row>
    <row r="18" spans="1:11" ht="28.8" x14ac:dyDescent="0.3">
      <c r="A18" s="1" t="s">
        <v>97</v>
      </c>
      <c r="B18" s="1" t="s">
        <v>12</v>
      </c>
      <c r="C18" s="1" t="s">
        <v>98</v>
      </c>
      <c r="D18" s="1" t="s">
        <v>57</v>
      </c>
      <c r="E18" s="1" t="s">
        <v>64</v>
      </c>
      <c r="F18" s="1" t="s">
        <v>87</v>
      </c>
      <c r="G18" s="1" t="s">
        <v>99</v>
      </c>
      <c r="H18" s="1" t="s">
        <v>18</v>
      </c>
      <c r="I18" s="1" t="s">
        <v>100</v>
      </c>
      <c r="J18" s="1" t="s">
        <v>68</v>
      </c>
      <c r="K18" s="1"/>
    </row>
    <row r="19" spans="1:11" ht="28.8" x14ac:dyDescent="0.3">
      <c r="A19" s="1" t="s">
        <v>101</v>
      </c>
      <c r="B19" s="1" t="s">
        <v>12</v>
      </c>
      <c r="C19" s="1" t="s">
        <v>102</v>
      </c>
      <c r="D19" s="1" t="s">
        <v>30</v>
      </c>
      <c r="E19" s="1" t="s">
        <v>58</v>
      </c>
      <c r="F19" s="1" t="s">
        <v>18</v>
      </c>
      <c r="G19" s="1" t="s">
        <v>103</v>
      </c>
      <c r="H19" s="1" t="s">
        <v>104</v>
      </c>
      <c r="I19" s="1" t="s">
        <v>105</v>
      </c>
      <c r="J19" s="1" t="s">
        <v>20</v>
      </c>
      <c r="K19" s="1" t="s">
        <v>106</v>
      </c>
    </row>
    <row r="20" spans="1:11" ht="28.8" x14ac:dyDescent="0.3">
      <c r="A20" s="1" t="s">
        <v>107</v>
      </c>
      <c r="B20" s="1" t="s">
        <v>12</v>
      </c>
      <c r="C20" s="1" t="s">
        <v>108</v>
      </c>
      <c r="D20" s="1" t="s">
        <v>57</v>
      </c>
      <c r="E20" s="1" t="s">
        <v>58</v>
      </c>
      <c r="F20" s="1" t="s">
        <v>18</v>
      </c>
      <c r="G20" s="1" t="s">
        <v>109</v>
      </c>
      <c r="H20" s="1" t="s">
        <v>110</v>
      </c>
      <c r="I20" s="1" t="s">
        <v>111</v>
      </c>
      <c r="J20" s="1" t="s">
        <v>68</v>
      </c>
      <c r="K20" s="1"/>
    </row>
    <row r="21" spans="1:11" ht="28.8" x14ac:dyDescent="0.3">
      <c r="A21" s="1" t="s">
        <v>112</v>
      </c>
      <c r="B21" s="1" t="s">
        <v>12</v>
      </c>
      <c r="C21" s="1" t="s">
        <v>113</v>
      </c>
      <c r="D21" s="1" t="s">
        <v>30</v>
      </c>
      <c r="E21" s="1" t="s">
        <v>58</v>
      </c>
      <c r="F21" s="1" t="s">
        <v>18</v>
      </c>
      <c r="G21" s="1" t="s">
        <v>114</v>
      </c>
      <c r="H21" s="1" t="s">
        <v>115</v>
      </c>
      <c r="I21" s="1" t="s">
        <v>116</v>
      </c>
      <c r="J21" s="1" t="s">
        <v>68</v>
      </c>
      <c r="K21" s="1" t="s">
        <v>117</v>
      </c>
    </row>
    <row r="22" spans="1:11" ht="28.8" x14ac:dyDescent="0.3">
      <c r="A22" s="1" t="s">
        <v>118</v>
      </c>
      <c r="B22" s="1" t="s">
        <v>12</v>
      </c>
      <c r="C22" s="1" t="s">
        <v>119</v>
      </c>
      <c r="D22" s="1" t="s">
        <v>30</v>
      </c>
      <c r="E22" s="1" t="s">
        <v>64</v>
      </c>
      <c r="F22" s="1" t="s">
        <v>18</v>
      </c>
      <c r="G22" s="1" t="s">
        <v>120</v>
      </c>
      <c r="H22" s="1" t="s">
        <v>121</v>
      </c>
      <c r="I22" s="1" t="s">
        <v>122</v>
      </c>
      <c r="J22" s="1" t="s">
        <v>68</v>
      </c>
      <c r="K22" s="1" t="s">
        <v>117</v>
      </c>
    </row>
    <row r="23" spans="1:11" ht="28.8" x14ac:dyDescent="0.3">
      <c r="A23" s="1" t="s">
        <v>123</v>
      </c>
      <c r="B23" s="1" t="s">
        <v>12</v>
      </c>
      <c r="C23" s="1" t="s">
        <v>124</v>
      </c>
      <c r="D23" s="1" t="s">
        <v>57</v>
      </c>
      <c r="E23" s="1" t="s">
        <v>64</v>
      </c>
      <c r="F23" s="1" t="s">
        <v>18</v>
      </c>
      <c r="G23" s="1" t="s">
        <v>125</v>
      </c>
      <c r="H23" s="1" t="s">
        <v>126</v>
      </c>
      <c r="I23" s="1" t="s">
        <v>127</v>
      </c>
      <c r="J23" s="1" t="s">
        <v>68</v>
      </c>
      <c r="K23" s="1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zoomScale="85" zoomScaleNormal="85" workbookViewId="0">
      <pane ySplit="1" topLeftCell="A2" activePane="bottomLeft" state="frozen"/>
      <selection pane="bottomLeft" activeCell="G17" sqref="G17"/>
    </sheetView>
  </sheetViews>
  <sheetFormatPr defaultRowHeight="14.4" x14ac:dyDescent="0.3"/>
  <cols>
    <col min="1" max="1" width="10" customWidth="1"/>
    <col min="2" max="2" width="10.109375" customWidth="1"/>
    <col min="3" max="3" width="40" customWidth="1"/>
    <col min="4" max="4" width="14" customWidth="1"/>
    <col min="5" max="5" width="10" customWidth="1"/>
    <col min="6" max="6" width="22.33203125" customWidth="1"/>
    <col min="7" max="7" width="48.44140625" customWidth="1"/>
    <col min="8" max="8" width="25" customWidth="1"/>
    <col min="9" max="9" width="30" customWidth="1"/>
    <col min="10" max="10" width="12.77734375" customWidth="1"/>
    <col min="11" max="11" width="22" customWidth="1"/>
  </cols>
  <sheetData>
    <row r="1" spans="1:11" s="3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 t="s">
        <v>129</v>
      </c>
      <c r="B2" s="1" t="s">
        <v>130</v>
      </c>
      <c r="C2" s="1" t="s">
        <v>131</v>
      </c>
      <c r="D2" s="1" t="s">
        <v>14</v>
      </c>
      <c r="E2" s="1" t="s">
        <v>15</v>
      </c>
      <c r="F2" s="1" t="s">
        <v>16</v>
      </c>
      <c r="G2" s="1" t="s">
        <v>132</v>
      </c>
      <c r="H2" s="1" t="s">
        <v>18</v>
      </c>
      <c r="I2" s="1" t="s">
        <v>133</v>
      </c>
      <c r="J2" s="1" t="s">
        <v>20</v>
      </c>
      <c r="K2" s="1"/>
    </row>
    <row r="3" spans="1:11" ht="28.8" x14ac:dyDescent="0.3">
      <c r="A3" s="1" t="s">
        <v>134</v>
      </c>
      <c r="B3" s="1" t="s">
        <v>130</v>
      </c>
      <c r="C3" s="1" t="s">
        <v>135</v>
      </c>
      <c r="D3" s="1" t="s">
        <v>14</v>
      </c>
      <c r="E3" s="1" t="s">
        <v>15</v>
      </c>
      <c r="F3" s="1" t="s">
        <v>16</v>
      </c>
      <c r="G3" s="1" t="s">
        <v>136</v>
      </c>
      <c r="H3" s="1" t="s">
        <v>137</v>
      </c>
      <c r="I3" s="1" t="s">
        <v>138</v>
      </c>
      <c r="J3" s="1" t="s">
        <v>20</v>
      </c>
      <c r="K3" s="1" t="s">
        <v>139</v>
      </c>
    </row>
    <row r="4" spans="1:11" ht="28.8" x14ac:dyDescent="0.3">
      <c r="A4" s="1" t="s">
        <v>140</v>
      </c>
      <c r="B4" s="1" t="s">
        <v>130</v>
      </c>
      <c r="C4" s="1" t="s">
        <v>141</v>
      </c>
      <c r="D4" s="1" t="s">
        <v>14</v>
      </c>
      <c r="E4" s="1" t="s">
        <v>15</v>
      </c>
      <c r="F4" s="1" t="s">
        <v>16</v>
      </c>
      <c r="G4" s="1" t="s">
        <v>142</v>
      </c>
      <c r="H4" s="1" t="s">
        <v>143</v>
      </c>
      <c r="I4" s="1" t="s">
        <v>144</v>
      </c>
      <c r="J4" s="1" t="s">
        <v>20</v>
      </c>
      <c r="K4" s="1"/>
    </row>
    <row r="5" spans="1:11" ht="28.8" x14ac:dyDescent="0.3">
      <c r="A5" s="1" t="s">
        <v>145</v>
      </c>
      <c r="B5" s="1" t="s">
        <v>130</v>
      </c>
      <c r="C5" s="1" t="s">
        <v>146</v>
      </c>
      <c r="D5" s="1" t="s">
        <v>57</v>
      </c>
      <c r="E5" s="1" t="s">
        <v>58</v>
      </c>
      <c r="F5" s="1" t="s">
        <v>16</v>
      </c>
      <c r="G5" s="1" t="s">
        <v>147</v>
      </c>
      <c r="H5" s="1" t="s">
        <v>148</v>
      </c>
      <c r="I5" s="1" t="s">
        <v>270</v>
      </c>
      <c r="J5" s="1" t="s">
        <v>20</v>
      </c>
      <c r="K5" s="1" t="s">
        <v>149</v>
      </c>
    </row>
    <row r="6" spans="1:11" x14ac:dyDescent="0.3">
      <c r="A6" s="1" t="s">
        <v>150</v>
      </c>
      <c r="B6" s="1" t="s">
        <v>130</v>
      </c>
      <c r="C6" s="1" t="s">
        <v>151</v>
      </c>
      <c r="D6" s="1" t="s">
        <v>57</v>
      </c>
      <c r="E6" s="1" t="s">
        <v>58</v>
      </c>
      <c r="F6" s="1" t="s">
        <v>152</v>
      </c>
      <c r="G6" s="1" t="s">
        <v>153</v>
      </c>
      <c r="H6" s="1" t="s">
        <v>18</v>
      </c>
      <c r="I6" s="1" t="s">
        <v>154</v>
      </c>
      <c r="J6" s="1" t="s">
        <v>20</v>
      </c>
      <c r="K6" s="1"/>
    </row>
    <row r="7" spans="1:11" ht="28.8" x14ac:dyDescent="0.3">
      <c r="A7" s="1" t="s">
        <v>155</v>
      </c>
      <c r="B7" s="1" t="s">
        <v>130</v>
      </c>
      <c r="C7" s="1" t="s">
        <v>156</v>
      </c>
      <c r="D7" s="1" t="s">
        <v>14</v>
      </c>
      <c r="E7" s="1" t="s">
        <v>15</v>
      </c>
      <c r="F7" s="1" t="s">
        <v>152</v>
      </c>
      <c r="G7" s="1" t="s">
        <v>157</v>
      </c>
      <c r="H7" s="1" t="s">
        <v>18</v>
      </c>
      <c r="I7" s="1" t="s">
        <v>158</v>
      </c>
      <c r="J7" s="1" t="s">
        <v>20</v>
      </c>
      <c r="K7" s="1"/>
    </row>
    <row r="8" spans="1:11" ht="28.8" x14ac:dyDescent="0.3">
      <c r="A8" s="1" t="s">
        <v>159</v>
      </c>
      <c r="B8" s="1" t="s">
        <v>130</v>
      </c>
      <c r="C8" s="1" t="s">
        <v>160</v>
      </c>
      <c r="D8" s="1" t="s">
        <v>14</v>
      </c>
      <c r="E8" s="1" t="s">
        <v>58</v>
      </c>
      <c r="F8" s="1" t="s">
        <v>161</v>
      </c>
      <c r="G8" s="1" t="s">
        <v>162</v>
      </c>
      <c r="H8" s="1" t="s">
        <v>18</v>
      </c>
      <c r="I8" s="1" t="s">
        <v>163</v>
      </c>
      <c r="J8" s="1" t="s">
        <v>20</v>
      </c>
      <c r="K8" s="1"/>
    </row>
    <row r="9" spans="1:11" ht="28.8" x14ac:dyDescent="0.3">
      <c r="A9" s="1" t="s">
        <v>164</v>
      </c>
      <c r="B9" s="1" t="s">
        <v>130</v>
      </c>
      <c r="C9" s="1" t="s">
        <v>165</v>
      </c>
      <c r="D9" s="1" t="s">
        <v>14</v>
      </c>
      <c r="E9" s="1" t="s">
        <v>15</v>
      </c>
      <c r="F9" s="1" t="s">
        <v>152</v>
      </c>
      <c r="G9" s="1" t="s">
        <v>166</v>
      </c>
      <c r="H9" s="1" t="s">
        <v>18</v>
      </c>
      <c r="I9" s="1" t="s">
        <v>167</v>
      </c>
      <c r="J9" s="1" t="s">
        <v>20</v>
      </c>
      <c r="K9" s="1"/>
    </row>
    <row r="10" spans="1:11" ht="28.8" x14ac:dyDescent="0.3">
      <c r="A10" s="1" t="s">
        <v>168</v>
      </c>
      <c r="B10" s="1" t="s">
        <v>130</v>
      </c>
      <c r="C10" s="1" t="s">
        <v>169</v>
      </c>
      <c r="D10" s="1" t="s">
        <v>14</v>
      </c>
      <c r="E10" s="1" t="s">
        <v>15</v>
      </c>
      <c r="F10" s="1" t="s">
        <v>152</v>
      </c>
      <c r="G10" s="1" t="s">
        <v>170</v>
      </c>
      <c r="H10" s="1" t="s">
        <v>171</v>
      </c>
      <c r="I10" s="1" t="s">
        <v>172</v>
      </c>
      <c r="J10" s="1" t="s">
        <v>20</v>
      </c>
      <c r="K10" s="1" t="s">
        <v>173</v>
      </c>
    </row>
    <row r="11" spans="1:11" ht="43.2" x14ac:dyDescent="0.3">
      <c r="A11" s="1" t="s">
        <v>174</v>
      </c>
      <c r="B11" s="1" t="s">
        <v>130</v>
      </c>
      <c r="C11" s="1" t="s">
        <v>175</v>
      </c>
      <c r="D11" s="1" t="s">
        <v>30</v>
      </c>
      <c r="E11" s="1" t="s">
        <v>15</v>
      </c>
      <c r="F11" s="1" t="s">
        <v>152</v>
      </c>
      <c r="G11" s="1" t="s">
        <v>176</v>
      </c>
      <c r="H11" s="1" t="s">
        <v>177</v>
      </c>
      <c r="I11" s="1" t="s">
        <v>271</v>
      </c>
      <c r="J11" s="1" t="s">
        <v>20</v>
      </c>
      <c r="K11" s="1"/>
    </row>
    <row r="12" spans="1:11" ht="28.8" x14ac:dyDescent="0.3">
      <c r="A12" s="1" t="s">
        <v>179</v>
      </c>
      <c r="B12" s="1" t="s">
        <v>130</v>
      </c>
      <c r="C12" s="4" t="s">
        <v>180</v>
      </c>
      <c r="D12" s="1" t="s">
        <v>30</v>
      </c>
      <c r="E12" s="1" t="s">
        <v>15</v>
      </c>
      <c r="F12" s="1" t="s">
        <v>152</v>
      </c>
      <c r="G12" s="1" t="s">
        <v>181</v>
      </c>
      <c r="H12" s="1" t="s">
        <v>182</v>
      </c>
      <c r="I12" s="1" t="s">
        <v>178</v>
      </c>
      <c r="J12" s="1" t="s">
        <v>20</v>
      </c>
      <c r="K12" s="4" t="s">
        <v>272</v>
      </c>
    </row>
    <row r="13" spans="1:11" ht="28.8" x14ac:dyDescent="0.3">
      <c r="A13" s="1" t="s">
        <v>183</v>
      </c>
      <c r="B13" s="1" t="s">
        <v>130</v>
      </c>
      <c r="C13" s="1" t="s">
        <v>184</v>
      </c>
      <c r="D13" s="1" t="s">
        <v>14</v>
      </c>
      <c r="E13" s="1" t="s">
        <v>64</v>
      </c>
      <c r="F13" s="1" t="s">
        <v>185</v>
      </c>
      <c r="G13" s="1" t="s">
        <v>186</v>
      </c>
      <c r="H13" s="1" t="s">
        <v>18</v>
      </c>
      <c r="I13" s="1" t="s">
        <v>187</v>
      </c>
      <c r="J13" s="1" t="s">
        <v>20</v>
      </c>
      <c r="K13" s="1"/>
    </row>
    <row r="14" spans="1:11" ht="28.8" x14ac:dyDescent="0.3">
      <c r="A14" s="1" t="s">
        <v>188</v>
      </c>
      <c r="B14" s="1" t="s">
        <v>130</v>
      </c>
      <c r="C14" s="1" t="s">
        <v>189</v>
      </c>
      <c r="D14" s="1" t="s">
        <v>14</v>
      </c>
      <c r="E14" s="1" t="s">
        <v>64</v>
      </c>
      <c r="F14" s="1" t="s">
        <v>185</v>
      </c>
      <c r="G14" s="1" t="s">
        <v>190</v>
      </c>
      <c r="H14" s="1" t="s">
        <v>18</v>
      </c>
      <c r="I14" s="1" t="s">
        <v>187</v>
      </c>
      <c r="J14" s="1" t="s">
        <v>20</v>
      </c>
      <c r="K14" s="1"/>
    </row>
    <row r="15" spans="1:11" ht="28.8" x14ac:dyDescent="0.3">
      <c r="A15" s="1" t="s">
        <v>191</v>
      </c>
      <c r="B15" s="1" t="s">
        <v>130</v>
      </c>
      <c r="C15" s="1" t="s">
        <v>192</v>
      </c>
      <c r="D15" s="1" t="s">
        <v>57</v>
      </c>
      <c r="E15" s="1" t="s">
        <v>64</v>
      </c>
      <c r="F15" s="1" t="s">
        <v>185</v>
      </c>
      <c r="G15" s="1" t="s">
        <v>193</v>
      </c>
      <c r="H15" s="1" t="s">
        <v>194</v>
      </c>
      <c r="I15" s="1" t="s">
        <v>273</v>
      </c>
      <c r="J15" s="1" t="s">
        <v>68</v>
      </c>
      <c r="K15" s="1"/>
    </row>
    <row r="16" spans="1:11" ht="28.8" x14ac:dyDescent="0.3">
      <c r="A16" s="1" t="s">
        <v>195</v>
      </c>
      <c r="B16" s="1" t="s">
        <v>130</v>
      </c>
      <c r="C16" s="1" t="s">
        <v>196</v>
      </c>
      <c r="D16" s="1" t="s">
        <v>14</v>
      </c>
      <c r="E16" s="1" t="s">
        <v>15</v>
      </c>
      <c r="F16" s="1" t="s">
        <v>197</v>
      </c>
      <c r="G16" s="1" t="s">
        <v>198</v>
      </c>
      <c r="H16" s="1" t="s">
        <v>18</v>
      </c>
      <c r="I16" s="1" t="s">
        <v>199</v>
      </c>
      <c r="J16" s="1" t="s">
        <v>20</v>
      </c>
      <c r="K16" s="1"/>
    </row>
    <row r="17" spans="1:11" ht="28.8" x14ac:dyDescent="0.3">
      <c r="A17" s="1" t="s">
        <v>200</v>
      </c>
      <c r="B17" s="1" t="s">
        <v>130</v>
      </c>
      <c r="C17" s="1" t="s">
        <v>201</v>
      </c>
      <c r="D17" s="1" t="s">
        <v>14</v>
      </c>
      <c r="E17" s="1" t="s">
        <v>15</v>
      </c>
      <c r="F17" s="1" t="s">
        <v>197</v>
      </c>
      <c r="G17" s="1" t="s">
        <v>202</v>
      </c>
      <c r="H17" s="1" t="s">
        <v>18</v>
      </c>
      <c r="I17" s="1" t="s">
        <v>203</v>
      </c>
      <c r="J17" s="1" t="s">
        <v>20</v>
      </c>
      <c r="K17" s="4"/>
    </row>
    <row r="18" spans="1:11" ht="28.8" x14ac:dyDescent="0.3">
      <c r="A18" s="1" t="s">
        <v>204</v>
      </c>
      <c r="B18" s="1" t="s">
        <v>130</v>
      </c>
      <c r="C18" s="4" t="s">
        <v>205</v>
      </c>
      <c r="D18" s="1" t="s">
        <v>30</v>
      </c>
      <c r="E18" s="1" t="s">
        <v>58</v>
      </c>
      <c r="F18" s="1" t="s">
        <v>206</v>
      </c>
      <c r="G18" s="1" t="s">
        <v>275</v>
      </c>
      <c r="H18" s="1" t="s">
        <v>18</v>
      </c>
      <c r="I18" s="1" t="s">
        <v>276</v>
      </c>
      <c r="J18" s="1" t="s">
        <v>20</v>
      </c>
      <c r="K18" s="4" t="s">
        <v>274</v>
      </c>
    </row>
    <row r="19" spans="1:11" ht="28.8" x14ac:dyDescent="0.3">
      <c r="A19" s="1" t="s">
        <v>207</v>
      </c>
      <c r="B19" s="1" t="s">
        <v>130</v>
      </c>
      <c r="C19" s="1" t="s">
        <v>208</v>
      </c>
      <c r="D19" s="1" t="s">
        <v>14</v>
      </c>
      <c r="E19" s="1" t="s">
        <v>58</v>
      </c>
      <c r="F19" s="1" t="s">
        <v>209</v>
      </c>
      <c r="G19" s="1" t="s">
        <v>210</v>
      </c>
      <c r="H19" s="1" t="s">
        <v>18</v>
      </c>
      <c r="I19" s="1" t="s">
        <v>211</v>
      </c>
      <c r="J19" s="1" t="s">
        <v>20</v>
      </c>
      <c r="K19" s="1"/>
    </row>
    <row r="20" spans="1:11" ht="28.8" x14ac:dyDescent="0.3">
      <c r="A20" s="1" t="s">
        <v>212</v>
      </c>
      <c r="B20" s="1" t="s">
        <v>284</v>
      </c>
      <c r="C20" s="1" t="s">
        <v>279</v>
      </c>
      <c r="D20" s="1" t="s">
        <v>57</v>
      </c>
      <c r="E20" s="1" t="s">
        <v>64</v>
      </c>
      <c r="F20" s="1" t="s">
        <v>213</v>
      </c>
      <c r="G20" s="1" t="s">
        <v>214</v>
      </c>
      <c r="H20" s="1" t="s">
        <v>18</v>
      </c>
      <c r="I20" s="1" t="s">
        <v>277</v>
      </c>
      <c r="J20" s="1" t="s">
        <v>68</v>
      </c>
      <c r="K20" s="1"/>
    </row>
    <row r="21" spans="1:11" ht="28.8" x14ac:dyDescent="0.3">
      <c r="A21" s="1" t="s">
        <v>215</v>
      </c>
      <c r="B21" s="1" t="s">
        <v>130</v>
      </c>
      <c r="C21" s="1" t="s">
        <v>280</v>
      </c>
      <c r="D21" s="1" t="s">
        <v>14</v>
      </c>
      <c r="E21" s="1" t="s">
        <v>58</v>
      </c>
      <c r="F21" s="1" t="s">
        <v>213</v>
      </c>
      <c r="G21" s="1" t="s">
        <v>281</v>
      </c>
      <c r="H21" s="1" t="s">
        <v>290</v>
      </c>
      <c r="I21" s="1" t="s">
        <v>282</v>
      </c>
      <c r="J21" s="1" t="s">
        <v>20</v>
      </c>
      <c r="K21" s="1"/>
    </row>
    <row r="22" spans="1:11" ht="43.2" x14ac:dyDescent="0.3">
      <c r="A22" s="1" t="s">
        <v>220</v>
      </c>
      <c r="B22" s="1" t="s">
        <v>130</v>
      </c>
      <c r="C22" s="1" t="s">
        <v>286</v>
      </c>
      <c r="D22" s="1" t="s">
        <v>14</v>
      </c>
      <c r="E22" s="1" t="s">
        <v>58</v>
      </c>
      <c r="F22" s="1" t="s">
        <v>213</v>
      </c>
      <c r="G22" s="1" t="s">
        <v>288</v>
      </c>
      <c r="H22" s="1" t="s">
        <v>289</v>
      </c>
      <c r="I22" s="1" t="s">
        <v>291</v>
      </c>
      <c r="J22" s="1" t="s">
        <v>20</v>
      </c>
      <c r="K22" s="1"/>
    </row>
    <row r="23" spans="1:11" ht="28.8" x14ac:dyDescent="0.3">
      <c r="A23" s="1" t="s">
        <v>225</v>
      </c>
      <c r="B23" s="1" t="s">
        <v>130</v>
      </c>
      <c r="C23" s="1" t="s">
        <v>216</v>
      </c>
      <c r="D23" s="1" t="s">
        <v>57</v>
      </c>
      <c r="E23" s="1" t="s">
        <v>64</v>
      </c>
      <c r="F23" s="1" t="s">
        <v>18</v>
      </c>
      <c r="G23" s="1" t="s">
        <v>217</v>
      </c>
      <c r="H23" s="1" t="s">
        <v>218</v>
      </c>
      <c r="I23" s="1" t="s">
        <v>219</v>
      </c>
      <c r="J23" s="1" t="s">
        <v>68</v>
      </c>
      <c r="K23" s="1"/>
    </row>
    <row r="24" spans="1:11" ht="28.8" x14ac:dyDescent="0.3">
      <c r="A24" s="1" t="s">
        <v>230</v>
      </c>
      <c r="B24" s="1" t="s">
        <v>292</v>
      </c>
      <c r="C24" s="1" t="s">
        <v>221</v>
      </c>
      <c r="D24" s="1" t="s">
        <v>14</v>
      </c>
      <c r="E24" s="1" t="s">
        <v>15</v>
      </c>
      <c r="F24" s="1" t="s">
        <v>222</v>
      </c>
      <c r="G24" s="1" t="s">
        <v>223</v>
      </c>
      <c r="H24" s="1" t="s">
        <v>18</v>
      </c>
      <c r="I24" s="1" t="s">
        <v>224</v>
      </c>
      <c r="J24" s="1" t="s">
        <v>20</v>
      </c>
      <c r="K24" s="1"/>
    </row>
    <row r="25" spans="1:11" ht="28.8" x14ac:dyDescent="0.3">
      <c r="A25" s="1" t="s">
        <v>235</v>
      </c>
      <c r="B25" s="1" t="s">
        <v>130</v>
      </c>
      <c r="C25" s="1" t="s">
        <v>226</v>
      </c>
      <c r="D25" s="1" t="s">
        <v>14</v>
      </c>
      <c r="E25" s="1" t="s">
        <v>58</v>
      </c>
      <c r="F25" s="1" t="s">
        <v>227</v>
      </c>
      <c r="G25" s="1" t="s">
        <v>228</v>
      </c>
      <c r="H25" s="1" t="s">
        <v>18</v>
      </c>
      <c r="I25" s="1" t="s">
        <v>229</v>
      </c>
      <c r="J25" s="1" t="s">
        <v>20</v>
      </c>
      <c r="K25" s="1"/>
    </row>
    <row r="26" spans="1:11" ht="43.2" x14ac:dyDescent="0.3">
      <c r="A26" s="1" t="s">
        <v>283</v>
      </c>
      <c r="B26" s="1" t="s">
        <v>130</v>
      </c>
      <c r="C26" s="4" t="s">
        <v>231</v>
      </c>
      <c r="D26" s="1" t="s">
        <v>30</v>
      </c>
      <c r="E26" s="1" t="s">
        <v>64</v>
      </c>
      <c r="F26" s="1" t="s">
        <v>232</v>
      </c>
      <c r="G26" s="1" t="s">
        <v>233</v>
      </c>
      <c r="H26" s="1" t="s">
        <v>234</v>
      </c>
      <c r="I26" s="1" t="s">
        <v>278</v>
      </c>
      <c r="J26" s="1" t="s">
        <v>20</v>
      </c>
      <c r="K26" s="4" t="s">
        <v>274</v>
      </c>
    </row>
    <row r="27" spans="1:11" ht="43.2" x14ac:dyDescent="0.3">
      <c r="A27" s="1" t="s">
        <v>287</v>
      </c>
      <c r="B27" s="1" t="s">
        <v>130</v>
      </c>
      <c r="C27" s="4" t="s">
        <v>236</v>
      </c>
      <c r="D27" s="1" t="s">
        <v>57</v>
      </c>
      <c r="E27" s="1" t="s">
        <v>64</v>
      </c>
      <c r="F27" s="1" t="s">
        <v>232</v>
      </c>
      <c r="G27" s="1" t="s">
        <v>237</v>
      </c>
      <c r="H27" s="1" t="s">
        <v>238</v>
      </c>
      <c r="I27" s="1" t="s">
        <v>239</v>
      </c>
      <c r="J27" s="1" t="s">
        <v>68</v>
      </c>
      <c r="K27" s="4" t="s">
        <v>274</v>
      </c>
    </row>
  </sheetData>
  <phoneticPr fontId="6" type="noConversion"/>
  <pageMargins left="0.75" right="0.75" top="1" bottom="1" header="0.5" footer="0.5"/>
  <pageSetup paperSize="22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zoomScale="70" zoomScaleNormal="70" workbookViewId="0">
      <pane ySplit="1" topLeftCell="A2" activePane="bottomLeft" state="frozen"/>
      <selection pane="bottomLeft" activeCell="B40" sqref="B40"/>
    </sheetView>
  </sheetViews>
  <sheetFormatPr defaultRowHeight="14.4" x14ac:dyDescent="0.3"/>
  <cols>
    <col min="1" max="1" width="10" customWidth="1"/>
    <col min="2" max="2" width="14.6640625" customWidth="1"/>
    <col min="3" max="3" width="40" customWidth="1"/>
    <col min="4" max="4" width="14" customWidth="1"/>
    <col min="5" max="5" width="10" customWidth="1"/>
    <col min="6" max="6" width="28" customWidth="1"/>
    <col min="7" max="7" width="55" customWidth="1"/>
    <col min="8" max="8" width="25" customWidth="1"/>
    <col min="9" max="9" width="30" customWidth="1"/>
    <col min="10" max="10" width="20" customWidth="1"/>
    <col min="11" max="11" width="40.21875" customWidth="1"/>
  </cols>
  <sheetData>
    <row r="1" spans="1:11" s="3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3.2" x14ac:dyDescent="0.3">
      <c r="A2" s="1" t="s">
        <v>240</v>
      </c>
      <c r="B2" s="1" t="s">
        <v>241</v>
      </c>
      <c r="C2" s="1" t="s">
        <v>242</v>
      </c>
      <c r="D2" s="1" t="s">
        <v>14</v>
      </c>
      <c r="E2" s="1" t="s">
        <v>58</v>
      </c>
      <c r="F2" s="1" t="s">
        <v>16</v>
      </c>
      <c r="G2" s="1" t="s">
        <v>243</v>
      </c>
      <c r="H2" s="1" t="s">
        <v>18</v>
      </c>
      <c r="I2" s="1" t="s">
        <v>244</v>
      </c>
      <c r="J2" s="1" t="s">
        <v>20</v>
      </c>
      <c r="K2" s="1" t="s">
        <v>245</v>
      </c>
    </row>
    <row r="3" spans="1:11" ht="28.8" x14ac:dyDescent="0.3">
      <c r="A3" s="1" t="s">
        <v>246</v>
      </c>
      <c r="B3" s="1" t="s">
        <v>241</v>
      </c>
      <c r="C3" s="1" t="s">
        <v>247</v>
      </c>
      <c r="D3" s="1" t="s">
        <v>14</v>
      </c>
      <c r="E3" s="1" t="s">
        <v>58</v>
      </c>
      <c r="F3" s="1" t="s">
        <v>16</v>
      </c>
      <c r="G3" s="1" t="s">
        <v>248</v>
      </c>
      <c r="H3" s="1" t="s">
        <v>18</v>
      </c>
      <c r="I3" s="1" t="s">
        <v>249</v>
      </c>
      <c r="J3" s="1" t="s">
        <v>20</v>
      </c>
      <c r="K3" s="1"/>
    </row>
    <row r="4" spans="1:11" ht="28.8" x14ac:dyDescent="0.3">
      <c r="A4" s="1" t="s">
        <v>250</v>
      </c>
      <c r="B4" s="1" t="s">
        <v>241</v>
      </c>
      <c r="C4" s="1" t="s">
        <v>251</v>
      </c>
      <c r="D4" s="1" t="s">
        <v>14</v>
      </c>
      <c r="E4" s="1" t="s">
        <v>58</v>
      </c>
      <c r="F4" s="1" t="s">
        <v>16</v>
      </c>
      <c r="G4" s="1" t="s">
        <v>252</v>
      </c>
      <c r="H4" s="1" t="s">
        <v>18</v>
      </c>
      <c r="I4" s="1" t="s">
        <v>253</v>
      </c>
      <c r="J4" s="1" t="s">
        <v>20</v>
      </c>
      <c r="K4" s="1"/>
    </row>
    <row r="5" spans="1:11" ht="28.8" x14ac:dyDescent="0.3">
      <c r="A5" s="1" t="s">
        <v>254</v>
      </c>
      <c r="B5" s="1" t="s">
        <v>241</v>
      </c>
      <c r="C5" s="1" t="s">
        <v>255</v>
      </c>
      <c r="D5" s="1" t="s">
        <v>14</v>
      </c>
      <c r="E5" s="1" t="s">
        <v>64</v>
      </c>
      <c r="F5" s="1" t="s">
        <v>16</v>
      </c>
      <c r="G5" s="1" t="s">
        <v>256</v>
      </c>
      <c r="H5" s="1" t="s">
        <v>18</v>
      </c>
      <c r="I5" s="1" t="s">
        <v>257</v>
      </c>
      <c r="J5" s="1" t="s">
        <v>20</v>
      </c>
      <c r="K5" s="1"/>
    </row>
    <row r="6" spans="1:11" ht="43.2" x14ac:dyDescent="0.3">
      <c r="A6" s="1" t="s">
        <v>258</v>
      </c>
      <c r="B6" s="1" t="s">
        <v>241</v>
      </c>
      <c r="C6" s="1" t="s">
        <v>259</v>
      </c>
      <c r="D6" s="1" t="s">
        <v>14</v>
      </c>
      <c r="E6" s="1" t="s">
        <v>58</v>
      </c>
      <c r="F6" s="1" t="s">
        <v>16</v>
      </c>
      <c r="G6" s="1" t="s">
        <v>260</v>
      </c>
      <c r="H6" s="1" t="s">
        <v>261</v>
      </c>
      <c r="I6" s="1" t="s">
        <v>262</v>
      </c>
      <c r="J6" s="1" t="s">
        <v>68</v>
      </c>
      <c r="K6" s="1" t="s">
        <v>293</v>
      </c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Login</vt:lpstr>
      <vt:lpstr>Cart</vt:lpstr>
      <vt:lpstr>Search_Browse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2025-12-30T08:11:07Z</dcterms:created>
  <dcterms:modified xsi:type="dcterms:W3CDTF">2025-12-31T09:25:58Z</dcterms:modified>
</cp:coreProperties>
</file>